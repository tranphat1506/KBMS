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lechautranphat/Downloads/"/>
    </mc:Choice>
  </mc:AlternateContent>
  <xr:revisionPtr revIDLastSave="0" documentId="13_ncr:1_{2540DF5A-9BDE-A144-9DC6-8041598736F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NỘI DUNG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13" i="1"/>
  <c r="G14" i="1"/>
  <c r="G17" i="1"/>
  <c r="G11" i="1"/>
  <c r="G8" i="1"/>
  <c r="E14" i="1"/>
  <c r="E15" i="1" s="1"/>
  <c r="F15" i="1" s="1"/>
  <c r="E16" i="1" s="1"/>
  <c r="F16" i="1" s="1"/>
  <c r="E17" i="1" s="1"/>
  <c r="E18" i="1" s="1"/>
  <c r="F18" i="1" s="1"/>
  <c r="F14" i="1"/>
  <c r="F11" i="1"/>
  <c r="E11" i="1"/>
  <c r="F9" i="1"/>
  <c r="F8" i="1"/>
  <c r="I6" i="1"/>
  <c r="J6" i="1" s="1"/>
  <c r="H6" i="1"/>
  <c r="E10" i="1"/>
  <c r="F10" i="1" s="1"/>
  <c r="E9" i="1"/>
  <c r="E8" i="1"/>
  <c r="Q7" i="1"/>
  <c r="R7" i="1" s="1"/>
  <c r="S7" i="1" s="1"/>
  <c r="I7" i="1"/>
  <c r="J7" i="1" s="1"/>
  <c r="K7" i="1" s="1"/>
  <c r="L7" i="1" s="1"/>
  <c r="M7" i="1" s="1"/>
  <c r="N7" i="1" s="1"/>
  <c r="O7" i="1" s="1"/>
  <c r="P7" i="1" s="1"/>
  <c r="D3" i="1"/>
  <c r="D5" i="1" s="1"/>
  <c r="F17" i="1" l="1"/>
  <c r="E12" i="1"/>
  <c r="F12" i="1" s="1"/>
  <c r="K6" i="1"/>
  <c r="L6" i="1" s="1"/>
  <c r="M6" i="1" s="1"/>
  <c r="N6" i="1" s="1"/>
  <c r="O6" i="1" s="1"/>
  <c r="P6" i="1" s="1"/>
  <c r="Q6" i="1" s="1"/>
  <c r="R6" i="1" s="1"/>
  <c r="S6" i="1" s="1"/>
</calcChain>
</file>

<file path=xl/sharedStrings.xml><?xml version="1.0" encoding="utf-8"?>
<sst xmlns="http://schemas.openxmlformats.org/spreadsheetml/2006/main" count="25" uniqueCount="25">
  <si>
    <t>Ngày bắt đầu</t>
  </si>
  <si>
    <t>Ngày hiện tại</t>
  </si>
  <si>
    <t>Số tuần</t>
  </si>
  <si>
    <t>CÔNG VIỆC</t>
  </si>
  <si>
    <t>PHỤ TRÁCH CHÍNH</t>
  </si>
  <si>
    <t>NGÀY BẮT ĐẦU</t>
  </si>
  <si>
    <t>NGÀY KẾT THÚC</t>
  </si>
  <si>
    <t>TIẾN ĐỘ</t>
  </si>
  <si>
    <t>NỘI DUNG 1</t>
  </si>
  <si>
    <t>STT</t>
  </si>
  <si>
    <t>SỐ TUẦN THỰC HIỆN</t>
  </si>
  <si>
    <t>Ngày kết thúc</t>
  </si>
  <si>
    <t>Lê Châu Trần Phát</t>
  </si>
  <si>
    <t>TỔNG KẾT &amp; VIẾT BÁO CÁO</t>
  </si>
  <si>
    <t>Viết bài báo khoa học tóm tắt đề tài và hoàn thiện quyển báo cáo khóa luận.</t>
  </si>
  <si>
    <t>Thiết kế hệ hỗ trợ quản trị cơ sở tri thức dạng COKB</t>
  </si>
  <si>
    <t>XÁC ĐỊNH YÊU CẦU CỦA HỆ QUẢN TRỊ CƠ SỞ TRI THỨC TRÊN COKB</t>
  </si>
  <si>
    <t>Nghiên cứu mô hình COKB: Nghiên cứu 6 thành phần COKB: Concept, Hierarchy, Relation, Operator, Function, Rule</t>
  </si>
  <si>
    <t>Xác định yêu cầu quản trị: Tổ chức tri thức, quản trị thêm/xóa/sửa, truy vấn và khai thác tri thức</t>
  </si>
  <si>
    <t>THIẾT KẾ KIẾN TRÚC HỆ QUẢN TRỊ CƠ SỞ TRI THỨC DẠNG COKB</t>
  </si>
  <si>
    <t>CÀI ĐẶT VÀ TRIỂN KHAI HỆ QUẢN TRỊ CƠ SỞ TRI THỨC</t>
  </si>
  <si>
    <t>Thiết kế kiến trúc tổng thể hệ thống theo mô hình nhiều tầng (Application Layer, KBMS Server Layer, Knowledge Storage Engine, Physical Storage)</t>
  </si>
  <si>
    <t>Cài đặt và thiết kế giao thức network giữa Application Layer và tầng KBMS Server. Chạy và kiểm thử giao diện</t>
  </si>
  <si>
    <t>Cài đặt Storage Engine và Physical Storage Layer (quản lý, thêm/xóa/sửa tri thức, load/save disk)
- Cài đặt phân quyền ROOT, và quyền hạn cho các user khác (READ, WRITE)
- Lưu log, metadata, … của hệ thống trong db hệ thống. User có thể xem chi tiết
- Mỗi KB là một folder riêng, mỗi KB riêng đều có mã hoá dữ liệu trong file .
- Mỗi file trong KB đều được mã hoá và giải mã dữ liệu, phân quyền, và có cấu trúc dạng file .bin.</t>
  </si>
  <si>
    <t>Thiết kế cấu trúc dữ liệu tri thức dạng COKB và ngôn ngữ truy vần (KBDDL, KBDML)
- Mô hình tri thức dạng COKB bao gồm Concept, Hierachy, Relation, Ops, Funcs, Object
- Ngôn ngữ truy vấn được chia thành 2 loại:
+ KBDDL (Các câu lệnh tạo sửa xoá các database (KB) có cấu trúc tri thức dạng COKB) KnowledgeBase Data Definition: CREATE, TRUNCATE, DROP, ...
+ KBDML (Các câu lệnh tạo, sửa xoá các dữ liệu trong một kb cụ thể) KnowledgeBase Manipulation Language : Select, Insert, Update,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</si>
</sst>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6"/>
      </left>
      <right style="thin">
        <color indexed="64"/>
      </right>
      <top/>
      <bottom style="thin">
        <color theme="6"/>
      </bottom>
      <diagonal/>
    </border>
    <border>
      <left style="thin">
        <color theme="6"/>
      </left>
      <right style="thin">
        <color indexed="64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0"/>
      </right>
      <top/>
      <bottom style="thin">
        <color theme="6"/>
      </bottom>
      <diagonal/>
    </border>
    <border>
      <left/>
      <right style="thin">
        <color theme="0"/>
      </right>
      <top/>
      <bottom style="thin">
        <color theme="6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0" fillId="2" borderId="2" xfId="0" applyFill="1" applyBorder="1"/>
    <xf numFmtId="0" fontId="0" fillId="3" borderId="2" xfId="0" applyFill="1" applyBorder="1"/>
    <xf numFmtId="0" fontId="0" fillId="2" borderId="5" xfId="0" applyFill="1" applyBorder="1"/>
    <xf numFmtId="0" fontId="1" fillId="5" borderId="1" xfId="0" applyFont="1" applyFill="1" applyBorder="1"/>
    <xf numFmtId="14" fontId="2" fillId="5" borderId="1" xfId="0" applyNumberFormat="1" applyFont="1" applyFill="1" applyBorder="1"/>
    <xf numFmtId="0" fontId="2" fillId="5" borderId="4" xfId="0" applyFont="1" applyFill="1" applyBorder="1"/>
    <xf numFmtId="0" fontId="0" fillId="2" borderId="9" xfId="0" applyFill="1" applyBorder="1" applyAlignment="1">
      <alignment horizontal="center"/>
    </xf>
    <xf numFmtId="9" fontId="0" fillId="2" borderId="7" xfId="0" applyNumberFormat="1" applyFill="1" applyBorder="1"/>
    <xf numFmtId="0" fontId="0" fillId="3" borderId="9" xfId="0" applyFill="1" applyBorder="1" applyAlignment="1">
      <alignment horizontal="center"/>
    </xf>
    <xf numFmtId="14" fontId="2" fillId="4" borderId="10" xfId="0" applyNumberFormat="1" applyFont="1" applyFill="1" applyBorder="1"/>
    <xf numFmtId="14" fontId="2" fillId="4" borderId="11" xfId="0" applyNumberFormat="1" applyFont="1" applyFill="1" applyBorder="1"/>
    <xf numFmtId="0" fontId="2" fillId="4" borderId="12" xfId="0" applyFont="1" applyFill="1" applyBorder="1"/>
    <xf numFmtId="0" fontId="2" fillId="4" borderId="13" xfId="0" applyFont="1" applyFill="1" applyBorder="1"/>
    <xf numFmtId="0" fontId="3" fillId="3" borderId="0" xfId="0" applyFont="1" applyFill="1"/>
    <xf numFmtId="0" fontId="1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9" xfId="0" applyFill="1" applyBorder="1" applyAlignment="1">
      <alignment horizontal="left" vertical="center"/>
    </xf>
    <xf numFmtId="0" fontId="4" fillId="2" borderId="9" xfId="0" applyFont="1" applyFill="1" applyBorder="1"/>
    <xf numFmtId="0" fontId="4" fillId="2" borderId="9" xfId="0" applyFont="1" applyFill="1" applyBorder="1" applyAlignment="1">
      <alignment horizontal="left" vertical="center"/>
    </xf>
    <xf numFmtId="14" fontId="2" fillId="4" borderId="14" xfId="0" applyNumberFormat="1" applyFont="1" applyFill="1" applyBorder="1"/>
    <xf numFmtId="0" fontId="2" fillId="4" borderId="15" xfId="0" applyFont="1" applyFill="1" applyBorder="1"/>
    <xf numFmtId="0" fontId="0" fillId="2" borderId="16" xfId="0" applyFill="1" applyBorder="1"/>
    <xf numFmtId="0" fontId="0" fillId="3" borderId="17" xfId="0" applyFill="1" applyBorder="1"/>
    <xf numFmtId="0" fontId="0" fillId="2" borderId="17" xfId="0" applyFill="1" applyBorder="1"/>
    <xf numFmtId="0" fontId="0" fillId="3" borderId="9" xfId="0" applyFill="1" applyBorder="1" applyAlignment="1">
      <alignment horizontal="right"/>
    </xf>
    <xf numFmtId="0" fontId="0" fillId="3" borderId="9" xfId="0" applyFill="1" applyBorder="1" applyAlignment="1">
      <alignment horizontal="left" vertical="center" wrapText="1"/>
    </xf>
    <xf numFmtId="14" fontId="0" fillId="2" borderId="9" xfId="0" applyNumberFormat="1" applyFill="1" applyBorder="1" applyAlignment="1">
      <alignment horizontal="left"/>
    </xf>
    <xf numFmtId="0" fontId="2" fillId="4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zoomScale="110" zoomScaleNormal="75" workbookViewId="0">
      <selection activeCell="B23" sqref="B23"/>
    </sheetView>
  </sheetViews>
  <sheetFormatPr baseColWidth="10" defaultColWidth="8.6640625" defaultRowHeight="15" x14ac:dyDescent="0.2"/>
  <cols>
    <col min="1" max="1" width="8" style="2" customWidth="1"/>
    <col min="2" max="2" width="87.33203125" style="2" customWidth="1"/>
    <col min="3" max="3" width="18" style="23" bestFit="1" customWidth="1"/>
    <col min="4" max="4" width="16.6640625" style="2" customWidth="1"/>
    <col min="5" max="5" width="10.1640625" style="2" customWidth="1"/>
    <col min="6" max="6" width="10.6640625" style="2" customWidth="1"/>
    <col min="7" max="7" width="14.33203125" style="2" customWidth="1"/>
    <col min="8" max="18" width="11" style="2" bestFit="1" customWidth="1"/>
    <col min="19" max="16384" width="8.6640625" style="2"/>
  </cols>
  <sheetData>
    <row r="1" spans="1:19" ht="48" x14ac:dyDescent="0.2">
      <c r="C1" s="18" t="s">
        <v>15</v>
      </c>
      <c r="D1" s="7" t="s">
        <v>8</v>
      </c>
      <c r="E1" s="17"/>
    </row>
    <row r="2" spans="1:19" ht="16" x14ac:dyDescent="0.2">
      <c r="C2" s="19" t="s">
        <v>0</v>
      </c>
      <c r="D2" s="8">
        <v>46021</v>
      </c>
    </row>
    <row r="3" spans="1:19" ht="16" x14ac:dyDescent="0.2">
      <c r="C3" s="19" t="s">
        <v>1</v>
      </c>
      <c r="D3" s="8">
        <f ca="1">TODAY()</f>
        <v>46093</v>
      </c>
    </row>
    <row r="4" spans="1:19" ht="16" x14ac:dyDescent="0.2">
      <c r="C4" s="20" t="s">
        <v>11</v>
      </c>
      <c r="D4" s="8">
        <v>46105</v>
      </c>
    </row>
    <row r="5" spans="1:19" ht="16" x14ac:dyDescent="0.2">
      <c r="C5" s="20" t="s">
        <v>2</v>
      </c>
      <c r="D5" s="9">
        <f ca="1">ROUND((D3-D2)/7,0)</f>
        <v>10</v>
      </c>
    </row>
    <row r="6" spans="1:19" s="3" customFormat="1" ht="24.5" customHeight="1" x14ac:dyDescent="0.2">
      <c r="A6" s="39" t="s">
        <v>9</v>
      </c>
      <c r="B6" s="41" t="s">
        <v>3</v>
      </c>
      <c r="C6" s="43" t="s">
        <v>4</v>
      </c>
      <c r="D6" s="37" t="s">
        <v>10</v>
      </c>
      <c r="E6" s="37" t="s">
        <v>5</v>
      </c>
      <c r="F6" s="37" t="s">
        <v>6</v>
      </c>
      <c r="G6" s="35" t="s">
        <v>7</v>
      </c>
      <c r="H6" s="13">
        <f>D2+6</f>
        <v>46027</v>
      </c>
      <c r="I6" s="14">
        <f>H6+7</f>
        <v>46034</v>
      </c>
      <c r="J6" s="14">
        <f t="shared" ref="J6:P6" si="0">I6+7</f>
        <v>46041</v>
      </c>
      <c r="K6" s="14">
        <f t="shared" si="0"/>
        <v>46048</v>
      </c>
      <c r="L6" s="14">
        <f t="shared" si="0"/>
        <v>46055</v>
      </c>
      <c r="M6" s="14">
        <f t="shared" si="0"/>
        <v>46062</v>
      </c>
      <c r="N6" s="14">
        <f t="shared" si="0"/>
        <v>46069</v>
      </c>
      <c r="O6" s="14">
        <f t="shared" si="0"/>
        <v>46076</v>
      </c>
      <c r="P6" s="27">
        <f t="shared" si="0"/>
        <v>46083</v>
      </c>
      <c r="Q6" s="14">
        <f t="shared" ref="Q6" si="1">P6+7</f>
        <v>46090</v>
      </c>
      <c r="R6" s="14">
        <f t="shared" ref="R6" si="2">Q6+7</f>
        <v>46097</v>
      </c>
      <c r="S6" s="27">
        <f t="shared" ref="S6" si="3">R6+7</f>
        <v>46104</v>
      </c>
    </row>
    <row r="7" spans="1:19" s="3" customFormat="1" ht="16" customHeight="1" x14ac:dyDescent="0.2">
      <c r="A7" s="40"/>
      <c r="B7" s="42"/>
      <c r="C7" s="44"/>
      <c r="D7" s="38"/>
      <c r="E7" s="38"/>
      <c r="F7" s="38"/>
      <c r="G7" s="36"/>
      <c r="H7" s="15">
        <v>1</v>
      </c>
      <c r="I7" s="16">
        <f>H7+1</f>
        <v>2</v>
      </c>
      <c r="J7" s="16">
        <f t="shared" ref="J7:P7" si="4">I7+1</f>
        <v>3</v>
      </c>
      <c r="K7" s="16">
        <f t="shared" si="4"/>
        <v>4</v>
      </c>
      <c r="L7" s="16">
        <f t="shared" si="4"/>
        <v>5</v>
      </c>
      <c r="M7" s="16">
        <f t="shared" si="4"/>
        <v>6</v>
      </c>
      <c r="N7" s="16">
        <f t="shared" si="4"/>
        <v>7</v>
      </c>
      <c r="O7" s="16">
        <f t="shared" si="4"/>
        <v>8</v>
      </c>
      <c r="P7" s="28">
        <f t="shared" si="4"/>
        <v>9</v>
      </c>
      <c r="Q7" s="16">
        <f t="shared" ref="Q7" si="5">P7+1</f>
        <v>10</v>
      </c>
      <c r="R7" s="16">
        <f t="shared" ref="R7" si="6">Q7+1</f>
        <v>11</v>
      </c>
      <c r="S7" s="28">
        <f t="shared" ref="S7" si="7">R7+1</f>
        <v>12</v>
      </c>
    </row>
    <row r="8" spans="1:19" s="1" customFormat="1" ht="16" x14ac:dyDescent="0.2">
      <c r="A8" s="10">
        <v>1</v>
      </c>
      <c r="B8" s="25" t="s">
        <v>16</v>
      </c>
      <c r="C8" s="21" t="s">
        <v>12</v>
      </c>
      <c r="D8" s="10">
        <v>3</v>
      </c>
      <c r="E8" s="34">
        <f>$D$2</f>
        <v>46021</v>
      </c>
      <c r="F8" s="34">
        <f>$E8+(7 * $D8) - 1</f>
        <v>46041</v>
      </c>
      <c r="G8" s="11">
        <f>($G9+$G10)/2</f>
        <v>1</v>
      </c>
      <c r="H8" s="6"/>
      <c r="I8" s="6"/>
      <c r="J8" s="6"/>
      <c r="K8" s="6"/>
      <c r="L8" s="6"/>
      <c r="M8" s="6"/>
      <c r="N8" s="6"/>
      <c r="O8" s="6"/>
      <c r="P8" s="29"/>
      <c r="Q8" s="6"/>
      <c r="R8" s="6"/>
      <c r="S8" s="29"/>
    </row>
    <row r="9" spans="1:19" ht="23" customHeight="1" x14ac:dyDescent="0.2">
      <c r="A9" s="32">
        <v>1.1000000000000001</v>
      </c>
      <c r="B9" s="24" t="s">
        <v>17</v>
      </c>
      <c r="C9" s="22"/>
      <c r="D9" s="12">
        <v>1</v>
      </c>
      <c r="E9" s="34">
        <f>$E8</f>
        <v>46021</v>
      </c>
      <c r="F9" s="34">
        <f>$E9+(7 * $D9) - 1</f>
        <v>46027</v>
      </c>
      <c r="G9" s="11">
        <v>1</v>
      </c>
      <c r="H9" s="5"/>
      <c r="I9" s="5"/>
      <c r="J9" s="5"/>
      <c r="K9" s="5"/>
      <c r="L9" s="5"/>
      <c r="M9" s="5"/>
      <c r="N9" s="5"/>
      <c r="O9" s="5"/>
      <c r="P9" s="30"/>
      <c r="Q9" s="5"/>
      <c r="R9" s="5"/>
      <c r="S9" s="30"/>
    </row>
    <row r="10" spans="1:19" ht="23" customHeight="1" x14ac:dyDescent="0.2">
      <c r="A10" s="32">
        <v>1.2</v>
      </c>
      <c r="B10" s="33" t="s">
        <v>18</v>
      </c>
      <c r="C10" s="22"/>
      <c r="D10" s="12">
        <v>2</v>
      </c>
      <c r="E10" s="34">
        <f>$F9+1</f>
        <v>46028</v>
      </c>
      <c r="F10" s="34">
        <f>$E10+(7 * $D10) - 1</f>
        <v>46041</v>
      </c>
      <c r="G10" s="11">
        <v>1</v>
      </c>
      <c r="H10" s="5"/>
      <c r="I10" s="5"/>
      <c r="J10" s="5"/>
      <c r="K10" s="5"/>
      <c r="L10" s="5"/>
      <c r="M10" s="5"/>
      <c r="N10" s="5"/>
      <c r="O10" s="5"/>
      <c r="P10" s="30"/>
      <c r="Q10" s="5"/>
      <c r="R10" s="5"/>
      <c r="S10" s="30"/>
    </row>
    <row r="11" spans="1:19" s="1" customFormat="1" x14ac:dyDescent="0.2">
      <c r="A11" s="10">
        <v>2</v>
      </c>
      <c r="B11" s="26" t="s">
        <v>19</v>
      </c>
      <c r="C11" s="21"/>
      <c r="D11" s="10">
        <v>4</v>
      </c>
      <c r="E11" s="34">
        <f>$F$10+1</f>
        <v>46042</v>
      </c>
      <c r="F11" s="34">
        <f>F10+(7*D11)</f>
        <v>46069</v>
      </c>
      <c r="G11" s="11">
        <f>($G12+$G13)/2</f>
        <v>0.625</v>
      </c>
      <c r="H11" s="4"/>
      <c r="I11" s="4"/>
      <c r="J11" s="4"/>
      <c r="K11" s="4"/>
      <c r="L11" s="4"/>
      <c r="M11" s="4"/>
      <c r="N11" s="4"/>
      <c r="O11" s="4"/>
      <c r="P11" s="31"/>
      <c r="Q11" s="4"/>
      <c r="R11" s="4"/>
      <c r="S11" s="31"/>
    </row>
    <row r="12" spans="1:19" ht="48" customHeight="1" x14ac:dyDescent="0.2">
      <c r="A12" s="32">
        <v>2.1</v>
      </c>
      <c r="B12" s="33" t="s">
        <v>21</v>
      </c>
      <c r="C12" s="22"/>
      <c r="D12" s="12">
        <v>2</v>
      </c>
      <c r="E12" s="34">
        <f>$E11</f>
        <v>46042</v>
      </c>
      <c r="F12" s="34">
        <f t="shared" ref="F12" si="8">$E12+(7 * $D12)</f>
        <v>46056</v>
      </c>
      <c r="G12" s="11">
        <v>1</v>
      </c>
      <c r="H12" s="5"/>
      <c r="I12" s="5"/>
      <c r="J12" s="5"/>
      <c r="K12" s="5"/>
      <c r="L12" s="5"/>
      <c r="M12" s="5"/>
      <c r="N12" s="5"/>
      <c r="O12" s="5"/>
      <c r="P12" s="30"/>
      <c r="Q12" s="5"/>
      <c r="R12" s="5"/>
      <c r="S12" s="30"/>
    </row>
    <row r="13" spans="1:19" ht="112" x14ac:dyDescent="0.2">
      <c r="A13" s="32">
        <v>2.2000000000000002</v>
      </c>
      <c r="B13" s="33" t="s">
        <v>24</v>
      </c>
      <c r="C13" s="22"/>
      <c r="D13" s="12">
        <v>2</v>
      </c>
      <c r="E13" s="34">
        <f>$F12+1</f>
        <v>46057</v>
      </c>
      <c r="F13" s="34">
        <f>C13</f>
        <v>0</v>
      </c>
      <c r="G13" s="11">
        <v>0.25</v>
      </c>
      <c r="H13" s="5"/>
      <c r="I13" s="5"/>
      <c r="J13" s="5"/>
      <c r="K13" s="5"/>
      <c r="L13" s="5"/>
      <c r="M13" s="5"/>
      <c r="N13" s="5"/>
      <c r="O13" s="5"/>
      <c r="P13" s="30"/>
      <c r="Q13" s="5"/>
      <c r="R13" s="5"/>
      <c r="S13" s="30"/>
    </row>
    <row r="14" spans="1:19" s="1" customFormat="1" x14ac:dyDescent="0.2">
      <c r="A14" s="10">
        <v>3</v>
      </c>
      <c r="B14" s="26" t="s">
        <v>20</v>
      </c>
      <c r="C14" s="21"/>
      <c r="D14" s="10">
        <v>3</v>
      </c>
      <c r="E14" s="34">
        <f>$F$13+1</f>
        <v>1</v>
      </c>
      <c r="F14" s="34">
        <f>F13+(7*D14)</f>
        <v>21</v>
      </c>
      <c r="G14" s="11">
        <f>($G15+$G16)/2</f>
        <v>0</v>
      </c>
      <c r="H14" s="4"/>
      <c r="I14" s="4"/>
      <c r="J14" s="4"/>
      <c r="K14" s="4"/>
      <c r="L14" s="4"/>
      <c r="M14" s="4"/>
      <c r="N14" s="4"/>
      <c r="O14" s="4"/>
      <c r="P14" s="31"/>
      <c r="Q14" s="4"/>
      <c r="R14" s="4"/>
      <c r="S14" s="31"/>
    </row>
    <row r="15" spans="1:19" ht="98" customHeight="1" x14ac:dyDescent="0.2">
      <c r="A15" s="32">
        <v>3.1</v>
      </c>
      <c r="B15" s="33" t="s">
        <v>23</v>
      </c>
      <c r="C15" s="22"/>
      <c r="D15" s="12">
        <v>2</v>
      </c>
      <c r="E15" s="34">
        <f>$E14</f>
        <v>1</v>
      </c>
      <c r="F15" s="34">
        <f t="shared" ref="F15:F18" si="9">$E15+(7 * $D15)</f>
        <v>15</v>
      </c>
      <c r="G15" s="11">
        <v>0</v>
      </c>
      <c r="H15" s="5"/>
      <c r="I15" s="5"/>
      <c r="J15" s="5"/>
      <c r="K15" s="5"/>
      <c r="L15" s="5"/>
      <c r="M15" s="5"/>
      <c r="N15" s="5"/>
      <c r="O15" s="5"/>
      <c r="P15" s="30"/>
      <c r="Q15" s="5"/>
      <c r="R15" s="5"/>
      <c r="S15" s="30"/>
    </row>
    <row r="16" spans="1:19" x14ac:dyDescent="0.2">
      <c r="A16" s="32">
        <v>3.2</v>
      </c>
      <c r="B16" s="24" t="s">
        <v>22</v>
      </c>
      <c r="C16" s="22"/>
      <c r="D16" s="12">
        <v>1</v>
      </c>
      <c r="E16" s="34">
        <f>$F15+1</f>
        <v>16</v>
      </c>
      <c r="F16" s="34">
        <f>$E16+(7 * $D16) - 1</f>
        <v>22</v>
      </c>
      <c r="G16" s="11">
        <v>0</v>
      </c>
      <c r="H16" s="5"/>
      <c r="I16" s="5"/>
      <c r="J16" s="5"/>
      <c r="K16" s="5"/>
      <c r="L16" s="5"/>
      <c r="M16" s="5"/>
      <c r="N16" s="5"/>
      <c r="O16" s="5"/>
      <c r="P16" s="30"/>
      <c r="Q16" s="5"/>
      <c r="R16" s="5"/>
      <c r="S16" s="30"/>
    </row>
    <row r="17" spans="1:19" s="1" customFormat="1" x14ac:dyDescent="0.2">
      <c r="A17" s="10">
        <v>4</v>
      </c>
      <c r="B17" s="26" t="s">
        <v>13</v>
      </c>
      <c r="C17" s="21"/>
      <c r="D17" s="10">
        <v>2</v>
      </c>
      <c r="E17" s="34">
        <f>$F$16+1</f>
        <v>23</v>
      </c>
      <c r="F17" s="34">
        <f>F16+(7*D17)</f>
        <v>36</v>
      </c>
      <c r="G17" s="11">
        <f>$G18</f>
        <v>0</v>
      </c>
      <c r="H17" s="4"/>
      <c r="I17" s="4"/>
      <c r="J17" s="4"/>
      <c r="K17" s="4"/>
      <c r="L17" s="4"/>
      <c r="M17" s="4"/>
      <c r="N17" s="4"/>
      <c r="O17" s="4"/>
      <c r="P17" s="31"/>
      <c r="Q17" s="4"/>
      <c r="R17" s="4"/>
      <c r="S17" s="31"/>
    </row>
    <row r="18" spans="1:19" x14ac:dyDescent="0.2">
      <c r="A18" s="32">
        <v>4.0999999999999996</v>
      </c>
      <c r="B18" s="24" t="s">
        <v>14</v>
      </c>
      <c r="C18" s="22"/>
      <c r="D18" s="12">
        <v>2</v>
      </c>
      <c r="E18" s="34">
        <f>$E17</f>
        <v>23</v>
      </c>
      <c r="F18" s="34">
        <f t="shared" si="9"/>
        <v>37</v>
      </c>
      <c r="G18" s="11">
        <v>0</v>
      </c>
      <c r="H18" s="5"/>
      <c r="I18" s="5"/>
      <c r="J18" s="5"/>
      <c r="K18" s="5"/>
      <c r="L18" s="5"/>
      <c r="M18" s="5"/>
      <c r="N18" s="5"/>
      <c r="O18" s="5"/>
      <c r="P18" s="30"/>
      <c r="Q18" s="5"/>
      <c r="R18" s="5"/>
      <c r="S18" s="30"/>
    </row>
  </sheetData>
  <mergeCells count="7">
    <mergeCell ref="G6:G7"/>
    <mergeCell ref="F6:F7"/>
    <mergeCell ref="A6:A7"/>
    <mergeCell ref="B6:B7"/>
    <mergeCell ref="C6:C7"/>
    <mergeCell ref="E6:E7"/>
    <mergeCell ref="D6:D7"/>
  </mergeCells>
  <conditionalFormatting sqref="G8:G18">
    <cfRule type="dataBar" priority="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{41642C32-F767-436C-8053-18F4A00D44B9}</x14:id>
        </ext>
      </extLst>
    </cfRule>
  </conditionalFormatting>
  <conditionalFormatting sqref="H8:S18">
    <cfRule type="expression" dxfId="0" priority="2">
      <formula>AND(H$6&gt;=$E8,H$6&lt;=$F8)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642C32-F767-436C-8053-18F4A00D44B9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C00000"/>
              <x14:negativeFillColor rgb="FFFF0000"/>
              <x14:axisColor rgb="FF000000"/>
            </x14:dataBar>
          </x14:cfRule>
          <xm:sqref>G8:G18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NỘI DUNG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LeThanhPC</dc:creator>
  <cp:lastModifiedBy>Le Chau Tran Phat</cp:lastModifiedBy>
  <dcterms:created xsi:type="dcterms:W3CDTF">2015-06-05T18:17:20Z</dcterms:created>
  <dcterms:modified xsi:type="dcterms:W3CDTF">2026-03-12T03:08:30Z</dcterms:modified>
</cp:coreProperties>
</file>